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<sst xmlns="http://schemas.openxmlformats.org/spreadsheetml/2006/main" count="178" uniqueCount="74">
  <si>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</si>
  <si>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</si>
  <si>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</si>
  <si>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</si>
  <si>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</si>
  <si>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</si>
  <si>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</si>
  <si>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</si>
  <si>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</si>
  <si>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</si>
  <si>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</si>
  <si>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</si>
  <si>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</si>
  <si>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</si>
  <si>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</si>
  <si>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</si>
  <si>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</si>
  <si>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</si>
  <si>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</si>
  <si>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</si>
  <si>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</si>
  <si>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</si>
  <si>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</si>
  <si>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</si>
  <si>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</si>
  <si>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</si>
  <si>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</si>
  <si>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</si>
  <si>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</si>
  <si>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</si>
  <si>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</si>
  <si>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</si>
  <si>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Abhay Malhotra</t>
  </si>
  <si>
    <t>Registration No.:</t>
  </si>
  <si>
    <t>Course / Section:</t>
  </si>
  <si>
    <t>M.C.A/D1P2633</t>
  </si>
  <si>
    <t>Month:</t>
  </si>
  <si>
    <t>August 2026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</si>
  <si>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</si>
  <si>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</si>
  <si>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</si>
  <si>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</si>
  <si>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</si>
  <si>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</si>
  <si>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</si>
  <si>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</si>
  <si>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</si>
  <si>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</si>
  <si>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</si>
  <si>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</si>
  <si>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</si>
  <si>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</si>
  <si>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</si>
  <si>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</si>
  <si>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</si>
  <si>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moderate-high</t>
  </si>
  <si>
    <t>very good</t>
  </si>
  <si>
    <t>Very Satisfied</t>
  </si>
  <si>
    <t>high</t>
  </si>
  <si>
    <t>moderate</t>
  </si>
  <si>
    <t>tired</t>
  </si>
  <si>
    <t>Neutral</t>
  </si>
  <si>
    <t>low-moderate</t>
  </si>
  <si>
    <t>heavy class schedule.</t>
  </si>
  <si>
    <t>weekend revision and personal work.</t>
  </si>
  <si>
    <t>okay</t>
  </si>
  <si>
    <t>completed class work and coding practice.</t>
  </si>
  <si>
    <t>reviewed the day's class work and completed pending practice.</t>
  </si>
  <si>
    <t>low</t>
  </si>
  <si>
    <t>heavy timetable day , stressed out.</t>
  </si>
  <si>
    <t xml:space="preserve">okay </t>
  </si>
  <si>
    <t>woried for the CA tomorrow.</t>
  </si>
  <si>
    <t>reviewed class work and completed pending practice.</t>
  </si>
  <si>
    <t>weekend study and personal activities.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</si>
</sst>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Calibri"/>
      <charset val="1"/>
      <scheme val="minor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>
      <alignment vertical="center"/>
    </xf>
    <xf numFmtId="177" fontId="12" fillId="0" borderId="0">
      <alignment vertical="center"/>
    </xf>
    <xf numFmtId="9" fontId="12" fillId="0" borderId="0">
      <alignment vertical="center"/>
    </xf>
    <xf numFmtId="178" fontId="12" fillId="0" borderId="0">
      <alignment vertical="center"/>
    </xf>
    <xf numFmtId="179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2" fillId="4" borderId="4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5">
      <alignment vertical="center"/>
    </xf>
    <xf numFmtId="0" fontId="19" fillId="0" borderId="5">
      <alignment vertical="center"/>
    </xf>
    <xf numFmtId="0" fontId="20" fillId="0" borderId="6">
      <alignment vertical="center"/>
    </xf>
    <xf numFmtId="0" fontId="20" fillId="0" borderId="0">
      <alignment vertical="center"/>
    </xf>
    <xf numFmtId="0" fontId="21" fillId="5" borderId="7">
      <alignment vertical="center"/>
    </xf>
    <xf numFmtId="0" fontId="22" fillId="6" borderId="8">
      <alignment vertical="center"/>
    </xf>
    <xf numFmtId="0" fontId="23" fillId="6" borderId="7">
      <alignment vertical="center"/>
    </xf>
    <xf numFmtId="0" fontId="24" fillId="7" borderId="9">
      <alignment vertical="center"/>
    </xf>
    <xf numFmtId="0" fontId="25" fillId="0" borderId="10">
      <alignment vertical="center"/>
    </xf>
    <xf numFmtId="0" fontId="26" fillId="0" borderId="11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topLeftCell="A5" workbookViewId="0">
      <selection activeCell="D36" sqref="D36"/>
    </sheetView>
  </sheetViews>
  <sheetFormatPr defaultColWidth="8.62962962962963" defaultRowHeight="14.4"/>
  <cols>
    <col min="1" max="1" width="105" customWidth="1"/>
  </cols>
  <sheetData>
    <row r="1" ht="22.8" customHeight="1" spans="1:1">
      <c r="A1" s="18" t="s">
        <v>0</v>
      </c>
    </row>
    <row r="2" ht="16.8" customHeight="1" spans="1:1">
      <c r="A2" s="19" t="s">
        <v>1</v>
      </c>
    </row>
    <row r="3" spans="1:1">
      <c r="A3" s="20" t="s">
        <v>2</v>
      </c>
    </row>
    <row r="4" spans="1:1">
      <c r="A4" s="21"/>
    </row>
    <row r="5" spans="1:1">
      <c r="A5" s="22" t="s">
        <v>3</v>
      </c>
    </row>
    <row r="6" spans="1:1">
      <c r="A6" s="21" t="s">
        <v>4</v>
      </c>
    </row>
    <row r="7" spans="1:1">
      <c r="A7" s="21"/>
    </row>
    <row r="8" spans="1:1">
      <c r="A8" s="22" t="s">
        <v>5</v>
      </c>
    </row>
    <row r="9" spans="1:1">
      <c r="A9" s="21" t="s">
        <v>6</v>
      </c>
    </row>
    <row r="10" spans="1:1">
      <c r="A10" s="21" t="s">
        <v>7</v>
      </c>
    </row>
    <row r="11" spans="1:1">
      <c r="A11" s="21" t="s">
        <v>8</v>
      </c>
    </row>
    <row r="12" spans="1:1">
      <c r="A12" s="21"/>
    </row>
    <row r="13" spans="1:1">
      <c r="A13" s="22" t="s">
        <v>9</v>
      </c>
    </row>
    <row r="14" spans="1:1">
      <c r="A14" s="21" t="s">
        <v>10</v>
      </c>
    </row>
    <row r="15" spans="1:1">
      <c r="A15" s="21" t="s">
        <v>11</v>
      </c>
    </row>
    <row r="16" spans="1:1">
      <c r="A16" s="21"/>
    </row>
    <row r="17" spans="1:1">
      <c r="A17" s="22" t="s">
        <v>12</v>
      </c>
    </row>
    <row r="18" spans="1:1">
      <c r="A18" s="21" t="s">
        <v>13</v>
      </c>
    </row>
    <row r="19" spans="1:1">
      <c r="A19" s="21" t="s">
        <v>14</v>
      </c>
    </row>
    <row r="20" spans="1:1">
      <c r="A20" s="21" t="s">
        <v>15</v>
      </c>
    </row>
    <row r="21" spans="1:1">
      <c r="A21" s="21" t="s">
        <v>16</v>
      </c>
    </row>
    <row r="22" spans="1:1">
      <c r="A22" s="21" t="s">
        <v>17</v>
      </c>
    </row>
    <row r="23" spans="1:1">
      <c r="A23" s="21" t="s">
        <v>18</v>
      </c>
    </row>
    <row r="24" spans="1:1">
      <c r="A24" s="21" t="s">
        <v>19</v>
      </c>
    </row>
    <row r="25" spans="1:1">
      <c r="A25" s="21" t="s">
        <v>20</v>
      </c>
    </row>
    <row r="26" spans="1:1">
      <c r="A26" s="21" t="s">
        <v>21</v>
      </c>
    </row>
    <row r="27" spans="1:1">
      <c r="A27" s="21" t="s">
        <v>22</v>
      </c>
    </row>
    <row r="28" spans="1:1">
      <c r="A28" s="21" t="s">
        <v>23</v>
      </c>
    </row>
    <row r="29" spans="1:1">
      <c r="A29" s="21" t="s">
        <v>24</v>
      </c>
    </row>
    <row r="30" spans="1:1">
      <c r="A30" s="21" t="s">
        <v>25</v>
      </c>
    </row>
    <row r="31" spans="1:1">
      <c r="A31" s="21" t="s">
        <v>26</v>
      </c>
    </row>
    <row r="32" spans="1:1">
      <c r="A32" s="21"/>
    </row>
    <row r="33" spans="1:1">
      <c r="A33" s="22" t="s">
        <v>27</v>
      </c>
    </row>
    <row r="34" spans="1:1">
      <c r="A34" s="21" t="s">
        <v>28</v>
      </c>
    </row>
    <row r="35" spans="1:1">
      <c r="A35" s="21" t="s">
        <v>29</v>
      </c>
    </row>
    <row r="36" spans="1:1">
      <c r="A36" s="21"/>
    </row>
    <row r="37" spans="1:1">
      <c r="A37" s="22"/>
    </row>
    <row r="38" spans="1:1">
      <c r="A38" s="21"/>
    </row>
    <row r="39" spans="1:1">
      <c r="A39" s="2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7"/>
  <sheetViews>
    <sheetView showGridLines="0" tabSelected="1" workbookViewId="0">
      <pane xSplit="1" ySplit="5" topLeftCell="B6" activePane="bottomRight" state="frozen"/>
      <selection/>
      <selection pane="topRight"/>
      <selection pane="bottomLeft"/>
      <selection pane="bottomRight" activeCell="A1" sqref="A1:N1"/>
    </sheetView>
  </sheetViews>
  <sheetFormatPr defaultColWidth="8.62962962962963" defaultRowHeight="14.4"/>
  <cols>
    <col min="1" max="1" width="17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</row>
    <row r="2" ht="19.5" customHeight="1" spans="1:14">
      <c r="A2" s="2" t="s">
        <v>31</v>
      </c>
      <c r="B2" s="3" t="s">
        <v>32</v>
      </c>
      <c r="C2" s="4"/>
      <c r="D2" s="5"/>
      <c r="E2" s="2" t="s">
        <v>33</v>
      </c>
      <c r="F2" s="3">
        <v>12617839</v>
      </c>
      <c r="G2" s="5"/>
    </row>
    <row r="3" ht="19.5" customHeight="1" spans="1:14">
      <c r="A3" s="2" t="s">
        <v>34</v>
      </c>
      <c r="B3" s="3" t="s">
        <v>35</v>
      </c>
      <c r="C3" s="4"/>
      <c r="D3" s="5"/>
      <c r="E3" s="2" t="s">
        <v>36</v>
      </c>
      <c r="F3" s="3" t="s">
        <v>37</v>
      </c>
      <c r="G3" s="5"/>
    </row>
    <row r="4" spans="1:14">
      <c r="A4" s="6" t="s">
        <v>38</v>
      </c>
    </row>
    <row r="5" ht="41.4" customHeight="1" spans="1:14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ht="28.8" customHeight="1" spans="1:14">
      <c r="A6" s="8">
        <v>46249</v>
      </c>
      <c r="B6" s="9">
        <v>480</v>
      </c>
      <c r="C6" s="9">
        <v>40</v>
      </c>
      <c r="D6" s="9">
        <v>110</v>
      </c>
      <c r="E6" s="9">
        <v>65</v>
      </c>
      <c r="F6" s="9">
        <v>0</v>
      </c>
      <c r="G6" s="9">
        <v>0</v>
      </c>
      <c r="H6" s="9">
        <v>100</v>
      </c>
      <c r="I6" s="10">
        <f t="shared" ref="I6:I44" si="0">IF(SUM(B6:F6,H6)=0,"",SUM(B6:F6,H6))</f>
        <v>795</v>
      </c>
      <c r="J6" s="10">
        <f t="shared" ref="J6:J44" si="1">IF(I6="","",1440-I6)</f>
        <v>645</v>
      </c>
      <c r="K6" s="11" t="s">
        <v>53</v>
      </c>
      <c r="L6" s="11" t="s">
        <v>54</v>
      </c>
      <c r="M6" s="11" t="s">
        <v>55</v>
      </c>
      <c r="N6" s="12"/>
    </row>
    <row r="7" spans="1:14">
      <c r="A7" s="8">
        <v>46250</v>
      </c>
      <c r="B7" s="9">
        <v>500</v>
      </c>
      <c r="C7" s="9">
        <v>45</v>
      </c>
      <c r="D7" s="9">
        <v>120</v>
      </c>
      <c r="E7" s="9">
        <v>70</v>
      </c>
      <c r="F7" s="9">
        <v>0</v>
      </c>
      <c r="G7" s="9">
        <v>0</v>
      </c>
      <c r="H7" s="9">
        <v>110</v>
      </c>
      <c r="I7" s="10">
        <f t="shared" si="0"/>
        <v>845</v>
      </c>
      <c r="J7" s="10">
        <f t="shared" si="1"/>
        <v>595</v>
      </c>
      <c r="K7" s="11" t="s">
        <v>56</v>
      </c>
      <c r="L7" s="11" t="s">
        <v>57</v>
      </c>
      <c r="M7" s="11" t="s">
        <v>58</v>
      </c>
      <c r="N7" s="12"/>
    </row>
    <row r="8" spans="1:14">
      <c r="A8" s="8">
        <v>46251</v>
      </c>
      <c r="B8" s="9">
        <v>425</v>
      </c>
      <c r="C8" s="9">
        <v>25</v>
      </c>
      <c r="D8" s="9">
        <v>75</v>
      </c>
      <c r="E8" s="9">
        <v>40</v>
      </c>
      <c r="F8" s="9">
        <v>300</v>
      </c>
      <c r="G8" s="9">
        <v>6</v>
      </c>
      <c r="H8" s="9">
        <v>45</v>
      </c>
      <c r="I8" s="10">
        <f t="shared" si="0"/>
        <v>910</v>
      </c>
      <c r="J8" s="10">
        <f t="shared" si="1"/>
        <v>530</v>
      </c>
      <c r="K8" s="11" t="s">
        <v>53</v>
      </c>
      <c r="L8" s="11" t="s">
        <v>54</v>
      </c>
      <c r="M8" s="11" t="s">
        <v>59</v>
      </c>
      <c r="N8" s="12"/>
    </row>
    <row r="9" ht="28.8" customHeight="1" spans="1:14">
      <c r="A9" s="8">
        <v>46252</v>
      </c>
      <c r="B9" s="9">
        <v>440</v>
      </c>
      <c r="C9" s="9">
        <v>30</v>
      </c>
      <c r="D9" s="9">
        <v>85</v>
      </c>
      <c r="E9" s="9">
        <v>45</v>
      </c>
      <c r="F9" s="9">
        <v>250</v>
      </c>
      <c r="G9" s="9">
        <v>5</v>
      </c>
      <c r="H9" s="9">
        <v>50</v>
      </c>
      <c r="I9" s="10">
        <f t="shared" si="0"/>
        <v>900</v>
      </c>
      <c r="J9" s="10">
        <f t="shared" si="1"/>
        <v>540</v>
      </c>
      <c r="K9" s="11" t="s">
        <v>53</v>
      </c>
      <c r="L9" s="11" t="s">
        <v>54</v>
      </c>
      <c r="M9" s="11" t="s">
        <v>55</v>
      </c>
      <c r="N9" s="12"/>
    </row>
    <row r="10" spans="1:14">
      <c r="A10" s="8">
        <v>46253</v>
      </c>
      <c r="B10" s="9">
        <v>450</v>
      </c>
      <c r="C10" s="9">
        <v>35</v>
      </c>
      <c r="D10" s="9">
        <v>95</v>
      </c>
      <c r="E10" s="9">
        <v>55</v>
      </c>
      <c r="F10" s="9">
        <v>200</v>
      </c>
      <c r="G10" s="9">
        <v>4</v>
      </c>
      <c r="H10" s="9">
        <v>45</v>
      </c>
      <c r="I10" s="10">
        <f t="shared" si="0"/>
        <v>880</v>
      </c>
      <c r="J10" s="10">
        <f t="shared" si="1"/>
        <v>560</v>
      </c>
      <c r="K10" s="11" t="s">
        <v>53</v>
      </c>
      <c r="L10" s="11" t="s">
        <v>54</v>
      </c>
      <c r="M10" s="11" t="s">
        <v>58</v>
      </c>
      <c r="N10" s="12"/>
    </row>
    <row r="11" ht="28.8" customHeight="1" spans="1:14">
      <c r="A11" s="8">
        <v>46254</v>
      </c>
      <c r="B11" s="9">
        <v>410</v>
      </c>
      <c r="C11" s="9">
        <v>20</v>
      </c>
      <c r="D11" s="9">
        <v>60</v>
      </c>
      <c r="E11" s="9">
        <v>35</v>
      </c>
      <c r="F11" s="9">
        <v>350</v>
      </c>
      <c r="G11" s="9">
        <v>7</v>
      </c>
      <c r="H11" s="9">
        <v>40</v>
      </c>
      <c r="I11" s="10">
        <f t="shared" si="0"/>
        <v>915</v>
      </c>
      <c r="J11" s="10">
        <f t="shared" si="1"/>
        <v>525</v>
      </c>
      <c r="K11" s="11" t="s">
        <v>60</v>
      </c>
      <c r="L11" s="11" t="s">
        <v>61</v>
      </c>
      <c r="M11" s="11" t="s">
        <v>62</v>
      </c>
      <c r="N11" s="12" t="s">
        <v>63</v>
      </c>
    </row>
    <row r="12" ht="28.8" customHeight="1" spans="1:14">
      <c r="A12" s="8">
        <v>46255</v>
      </c>
      <c r="B12" s="9">
        <v>445</v>
      </c>
      <c r="C12" s="9">
        <v>30</v>
      </c>
      <c r="D12" s="9">
        <v>90</v>
      </c>
      <c r="E12" s="9">
        <v>50</v>
      </c>
      <c r="F12" s="9">
        <v>250</v>
      </c>
      <c r="G12" s="9">
        <v>5</v>
      </c>
      <c r="H12" s="9">
        <v>55</v>
      </c>
      <c r="I12" s="10">
        <f t="shared" si="0"/>
        <v>920</v>
      </c>
      <c r="J12" s="10">
        <f t="shared" si="1"/>
        <v>520</v>
      </c>
      <c r="K12" s="11" t="s">
        <v>53</v>
      </c>
      <c r="L12" s="11" t="s">
        <v>54</v>
      </c>
      <c r="M12" s="11" t="s">
        <v>55</v>
      </c>
      <c r="N12" s="12"/>
    </row>
    <row r="13" spans="1:14">
      <c r="A13" s="8">
        <v>46256</v>
      </c>
      <c r="B13" s="9">
        <v>515</v>
      </c>
      <c r="C13" s="9">
        <v>50</v>
      </c>
      <c r="D13" s="9">
        <v>125</v>
      </c>
      <c r="E13" s="9">
        <v>75</v>
      </c>
      <c r="F13" s="9">
        <v>0</v>
      </c>
      <c r="G13" s="9">
        <v>0</v>
      </c>
      <c r="H13" s="9">
        <v>90</v>
      </c>
      <c r="I13" s="10">
        <f t="shared" si="0"/>
        <v>855</v>
      </c>
      <c r="J13" s="10">
        <f t="shared" si="1"/>
        <v>585</v>
      </c>
      <c r="K13" s="11" t="s">
        <v>56</v>
      </c>
      <c r="L13" s="11" t="s">
        <v>57</v>
      </c>
      <c r="M13" s="11" t="s">
        <v>58</v>
      </c>
      <c r="N13" s="12"/>
    </row>
    <row r="14" ht="28.8" customHeight="1" spans="1:14">
      <c r="A14" s="8">
        <v>46257</v>
      </c>
      <c r="B14" s="9">
        <v>495</v>
      </c>
      <c r="C14" s="9">
        <v>40</v>
      </c>
      <c r="D14" s="9">
        <v>115</v>
      </c>
      <c r="E14" s="9">
        <v>65</v>
      </c>
      <c r="F14" s="9">
        <v>0</v>
      </c>
      <c r="G14" s="9">
        <v>0</v>
      </c>
      <c r="H14" s="9">
        <v>100</v>
      </c>
      <c r="I14" s="10">
        <f t="shared" si="0"/>
        <v>815</v>
      </c>
      <c r="J14" s="10">
        <f t="shared" si="1"/>
        <v>625</v>
      </c>
      <c r="K14" s="11" t="s">
        <v>53</v>
      </c>
      <c r="L14" s="11" t="s">
        <v>54</v>
      </c>
      <c r="M14" s="11" t="s">
        <v>55</v>
      </c>
      <c r="N14" s="12" t="s">
        <v>64</v>
      </c>
    </row>
    <row r="15" spans="1:14">
      <c r="A15" s="8">
        <v>46258</v>
      </c>
      <c r="B15" s="9">
        <v>420</v>
      </c>
      <c r="C15" s="9">
        <v>25</v>
      </c>
      <c r="D15" s="9">
        <v>70</v>
      </c>
      <c r="E15" s="9">
        <v>40</v>
      </c>
      <c r="F15" s="9">
        <v>300</v>
      </c>
      <c r="G15" s="9">
        <v>6</v>
      </c>
      <c r="H15" s="9">
        <v>45</v>
      </c>
      <c r="I15" s="10">
        <f t="shared" si="0"/>
        <v>900</v>
      </c>
      <c r="J15" s="10">
        <f t="shared" si="1"/>
        <v>540</v>
      </c>
      <c r="K15" s="11" t="s">
        <v>65</v>
      </c>
      <c r="L15" s="11" t="s">
        <v>54</v>
      </c>
      <c r="M15" s="11" t="s">
        <v>59</v>
      </c>
      <c r="N15" s="12"/>
    </row>
    <row r="16" ht="28.8" customHeight="1" spans="1:14">
      <c r="A16" s="8">
        <v>46259</v>
      </c>
      <c r="B16" s="9">
        <v>435</v>
      </c>
      <c r="C16" s="9">
        <v>30</v>
      </c>
      <c r="D16" s="9">
        <v>85</v>
      </c>
      <c r="E16" s="9">
        <v>50</v>
      </c>
      <c r="F16" s="9">
        <v>250</v>
      </c>
      <c r="G16" s="9">
        <v>5</v>
      </c>
      <c r="H16" s="9">
        <v>50</v>
      </c>
      <c r="I16" s="10">
        <f t="shared" si="0"/>
        <v>900</v>
      </c>
      <c r="J16" s="10">
        <f t="shared" si="1"/>
        <v>540</v>
      </c>
      <c r="K16" s="11" t="s">
        <v>53</v>
      </c>
      <c r="L16" s="11" t="s">
        <v>54</v>
      </c>
      <c r="M16" s="11" t="s">
        <v>55</v>
      </c>
      <c r="N16" s="12"/>
    </row>
    <row r="17" ht="28.8" customHeight="1" spans="1:14">
      <c r="A17" s="8">
        <v>46260</v>
      </c>
      <c r="B17" s="9">
        <v>455</v>
      </c>
      <c r="C17" s="9">
        <v>35</v>
      </c>
      <c r="D17" s="9">
        <v>95</v>
      </c>
      <c r="E17" s="9">
        <v>60</v>
      </c>
      <c r="F17" s="9">
        <v>300</v>
      </c>
      <c r="G17" s="9">
        <v>6</v>
      </c>
      <c r="H17" s="9">
        <v>45</v>
      </c>
      <c r="I17" s="10">
        <f t="shared" si="0"/>
        <v>990</v>
      </c>
      <c r="J17" s="10">
        <f t="shared" si="1"/>
        <v>450</v>
      </c>
      <c r="K17" s="11" t="s">
        <v>53</v>
      </c>
      <c r="L17" s="11" t="s">
        <v>54</v>
      </c>
      <c r="M17" s="11" t="s">
        <v>58</v>
      </c>
      <c r="N17" s="12" t="s">
        <v>66</v>
      </c>
    </row>
    <row r="18" spans="1:14">
      <c r="A18" s="13">
        <v>46261</v>
      </c>
      <c r="B18" s="14">
        <v>430</v>
      </c>
      <c r="C18" s="14">
        <v>35</v>
      </c>
      <c r="D18" s="14">
        <v>80</v>
      </c>
      <c r="E18" s="14">
        <v>45</v>
      </c>
      <c r="F18" s="14">
        <v>300</v>
      </c>
      <c r="G18" s="14">
        <v>6</v>
      </c>
      <c r="H18" s="14">
        <v>40</v>
      </c>
      <c r="I18" s="15">
        <f t="shared" si="0"/>
        <v>930</v>
      </c>
      <c r="J18" s="15">
        <f t="shared" si="1"/>
        <v>510</v>
      </c>
      <c r="K18" s="16" t="s">
        <v>53</v>
      </c>
      <c r="L18" s="16" t="s">
        <v>54</v>
      </c>
      <c r="M18" s="16" t="s">
        <v>59</v>
      </c>
      <c r="N18" s="17"/>
    </row>
    <row r="19" ht="28.8" customHeight="1" spans="1:14">
      <c r="A19" s="13">
        <v>46262</v>
      </c>
      <c r="B19" s="14">
        <v>450</v>
      </c>
      <c r="C19" s="14">
        <v>30</v>
      </c>
      <c r="D19" s="14">
        <v>90</v>
      </c>
      <c r="E19" s="14">
        <v>35</v>
      </c>
      <c r="F19" s="14">
        <v>250</v>
      </c>
      <c r="G19" s="14">
        <v>5</v>
      </c>
      <c r="H19" s="14">
        <v>55</v>
      </c>
      <c r="I19" s="15">
        <f t="shared" si="0"/>
        <v>910</v>
      </c>
      <c r="J19" s="15">
        <f t="shared" si="1"/>
        <v>530</v>
      </c>
      <c r="K19" s="16" t="s">
        <v>53</v>
      </c>
      <c r="L19" s="16" t="s">
        <v>54</v>
      </c>
      <c r="M19" s="16" t="s">
        <v>55</v>
      </c>
      <c r="N19" s="17"/>
    </row>
    <row r="20" ht="28.8" customHeight="1" spans="1:14">
      <c r="A20" s="13">
        <v>46263</v>
      </c>
      <c r="B20" s="14">
        <v>510</v>
      </c>
      <c r="C20" s="14">
        <v>45</v>
      </c>
      <c r="D20" s="14">
        <v>120</v>
      </c>
      <c r="E20" s="14">
        <v>70</v>
      </c>
      <c r="F20" s="14">
        <v>0</v>
      </c>
      <c r="G20" s="14">
        <v>0</v>
      </c>
      <c r="H20" s="14">
        <v>80</v>
      </c>
      <c r="I20" s="15">
        <f t="shared" si="0"/>
        <v>825</v>
      </c>
      <c r="J20" s="15">
        <f t="shared" si="1"/>
        <v>615</v>
      </c>
      <c r="K20" s="16" t="s">
        <v>56</v>
      </c>
      <c r="L20" s="16" t="s">
        <v>57</v>
      </c>
      <c r="M20" s="16" t="s">
        <v>58</v>
      </c>
      <c r="N20" s="17"/>
    </row>
    <row r="21" ht="28.8" customHeight="1" spans="1:14">
      <c r="A21" s="13">
        <v>46265</v>
      </c>
      <c r="B21" s="14">
        <v>435</v>
      </c>
      <c r="C21" s="14">
        <v>25</v>
      </c>
      <c r="D21" s="14">
        <v>75</v>
      </c>
      <c r="E21" s="14">
        <v>40</v>
      </c>
      <c r="F21" s="14">
        <v>250</v>
      </c>
      <c r="G21" s="14">
        <v>5</v>
      </c>
      <c r="H21" s="14">
        <v>50</v>
      </c>
      <c r="I21" s="15">
        <f t="shared" si="0"/>
        <v>875</v>
      </c>
      <c r="J21" s="15">
        <f t="shared" si="1"/>
        <v>565</v>
      </c>
      <c r="K21" s="16" t="s">
        <v>65</v>
      </c>
      <c r="L21" s="16" t="s">
        <v>54</v>
      </c>
      <c r="M21" s="16" t="s">
        <v>59</v>
      </c>
      <c r="N21" s="17" t="s">
        <v>67</v>
      </c>
    </row>
    <row r="22" ht="28.8" customHeight="1" spans="1:14">
      <c r="A22" s="13">
        <v>46266</v>
      </c>
      <c r="B22" s="14">
        <v>405</v>
      </c>
      <c r="C22" s="14">
        <v>20</v>
      </c>
      <c r="D22" s="14">
        <v>60</v>
      </c>
      <c r="E22" s="14">
        <v>35</v>
      </c>
      <c r="F22" s="14">
        <v>350</v>
      </c>
      <c r="G22" s="14">
        <v>6</v>
      </c>
      <c r="H22" s="14">
        <v>45</v>
      </c>
      <c r="I22" s="15">
        <f t="shared" si="0"/>
        <v>915</v>
      </c>
      <c r="J22" s="15">
        <f t="shared" si="1"/>
        <v>525</v>
      </c>
      <c r="K22" s="16" t="s">
        <v>60</v>
      </c>
      <c r="L22" s="16" t="s">
        <v>61</v>
      </c>
      <c r="M22" s="16" t="s">
        <v>62</v>
      </c>
      <c r="N22" s="17"/>
    </row>
    <row r="23" ht="28.8" customHeight="1" spans="1:14">
      <c r="A23" s="13">
        <v>46267</v>
      </c>
      <c r="B23" s="14">
        <v>465</v>
      </c>
      <c r="C23" s="14">
        <v>35</v>
      </c>
      <c r="D23" s="14">
        <v>95</v>
      </c>
      <c r="E23" s="14">
        <v>50</v>
      </c>
      <c r="F23" s="14">
        <v>200</v>
      </c>
      <c r="G23" s="14">
        <v>4</v>
      </c>
      <c r="H23" s="14">
        <v>40</v>
      </c>
      <c r="I23" s="15">
        <f t="shared" si="0"/>
        <v>885</v>
      </c>
      <c r="J23" s="15">
        <f t="shared" si="1"/>
        <v>555</v>
      </c>
      <c r="K23" s="16" t="s">
        <v>53</v>
      </c>
      <c r="L23" s="16" t="s">
        <v>54</v>
      </c>
      <c r="M23" s="16" t="s">
        <v>58</v>
      </c>
      <c r="N23" s="17"/>
    </row>
    <row r="24" spans="1:14">
      <c r="A24" s="13">
        <v>46268</v>
      </c>
      <c r="B24" s="14">
        <v>430</v>
      </c>
      <c r="C24" s="14">
        <v>25</v>
      </c>
      <c r="D24" s="14">
        <v>70</v>
      </c>
      <c r="E24" s="14">
        <v>35</v>
      </c>
      <c r="F24" s="14">
        <v>300</v>
      </c>
      <c r="G24" s="14">
        <v>6</v>
      </c>
      <c r="H24" s="14">
        <v>45</v>
      </c>
      <c r="I24" s="15">
        <f t="shared" si="0"/>
        <v>905</v>
      </c>
      <c r="J24" s="15">
        <f t="shared" si="1"/>
        <v>535</v>
      </c>
      <c r="K24" s="16" t="s">
        <v>65</v>
      </c>
      <c r="L24" s="16" t="s">
        <v>54</v>
      </c>
      <c r="M24" s="16" t="s">
        <v>59</v>
      </c>
      <c r="N24" s="17"/>
    </row>
    <row r="25" ht="28.8" customHeight="1" spans="1:14">
      <c r="A25" s="13">
        <v>46269</v>
      </c>
      <c r="B25" s="14">
        <v>450</v>
      </c>
      <c r="C25" s="14">
        <v>30</v>
      </c>
      <c r="D25" s="14">
        <v>85</v>
      </c>
      <c r="E25" s="14">
        <v>45</v>
      </c>
      <c r="F25" s="14">
        <v>250</v>
      </c>
      <c r="G25" s="14">
        <v>5</v>
      </c>
      <c r="H25" s="14">
        <v>60</v>
      </c>
      <c r="I25" s="15">
        <f t="shared" si="0"/>
        <v>920</v>
      </c>
      <c r="J25" s="15">
        <f t="shared" si="1"/>
        <v>520</v>
      </c>
      <c r="K25" s="16" t="s">
        <v>53</v>
      </c>
      <c r="L25" s="16" t="s">
        <v>54</v>
      </c>
      <c r="M25" s="16" t="s">
        <v>55</v>
      </c>
      <c r="N25" s="17"/>
    </row>
    <row r="26" ht="28.8" customHeight="1" spans="1:14">
      <c r="A26" s="13">
        <v>46270</v>
      </c>
      <c r="B26" s="14">
        <v>525</v>
      </c>
      <c r="C26" s="14">
        <v>50</v>
      </c>
      <c r="D26" s="14">
        <v>130</v>
      </c>
      <c r="E26" s="14">
        <v>75</v>
      </c>
      <c r="F26" s="14">
        <v>0</v>
      </c>
      <c r="G26" s="14">
        <v>0</v>
      </c>
      <c r="H26" s="14">
        <v>90</v>
      </c>
      <c r="I26" s="15">
        <f t="shared" si="0"/>
        <v>870</v>
      </c>
      <c r="J26" s="15">
        <f t="shared" si="1"/>
        <v>570</v>
      </c>
      <c r="K26" s="16" t="s">
        <v>56</v>
      </c>
      <c r="L26" s="16" t="s">
        <v>57</v>
      </c>
      <c r="M26" s="16" t="s">
        <v>58</v>
      </c>
      <c r="N26" s="17"/>
    </row>
    <row r="27" spans="1:14">
      <c r="A27" s="13">
        <v>46272</v>
      </c>
      <c r="B27" s="14">
        <v>420</v>
      </c>
      <c r="C27" s="14">
        <v>30</v>
      </c>
      <c r="D27" s="14">
        <v>70</v>
      </c>
      <c r="E27" s="14">
        <v>40</v>
      </c>
      <c r="F27" s="14">
        <v>250</v>
      </c>
      <c r="G27" s="14">
        <v>5</v>
      </c>
      <c r="H27" s="14">
        <v>45</v>
      </c>
      <c r="I27" s="15">
        <f t="shared" si="0"/>
        <v>855</v>
      </c>
      <c r="J27" s="15">
        <f t="shared" si="1"/>
        <v>585</v>
      </c>
      <c r="K27" s="16" t="s">
        <v>65</v>
      </c>
      <c r="L27" s="16" t="s">
        <v>54</v>
      </c>
      <c r="M27" s="16" t="s">
        <v>59</v>
      </c>
      <c r="N27" s="17"/>
    </row>
    <row r="28" ht="28.8" customHeight="1" spans="1:14">
      <c r="A28" s="13">
        <v>46273</v>
      </c>
      <c r="B28" s="14">
        <v>395</v>
      </c>
      <c r="C28" s="14">
        <v>20</v>
      </c>
      <c r="D28" s="14">
        <v>55</v>
      </c>
      <c r="E28" s="14">
        <v>30</v>
      </c>
      <c r="F28" s="14">
        <v>350</v>
      </c>
      <c r="G28" s="14">
        <v>7</v>
      </c>
      <c r="H28" s="14">
        <v>40</v>
      </c>
      <c r="I28" s="15">
        <f t="shared" si="0"/>
        <v>890</v>
      </c>
      <c r="J28" s="15">
        <f t="shared" si="1"/>
        <v>550</v>
      </c>
      <c r="K28" s="16" t="s">
        <v>60</v>
      </c>
      <c r="L28" s="16" t="s">
        <v>61</v>
      </c>
      <c r="M28" s="16" t="s">
        <v>68</v>
      </c>
      <c r="N28" s="17" t="s">
        <v>69</v>
      </c>
    </row>
    <row r="29" spans="1:14">
      <c r="A29" s="13">
        <v>46274</v>
      </c>
      <c r="B29" s="14">
        <v>455</v>
      </c>
      <c r="C29" s="14">
        <v>35</v>
      </c>
      <c r="D29" s="14">
        <v>100</v>
      </c>
      <c r="E29" s="14">
        <v>60</v>
      </c>
      <c r="F29" s="14">
        <v>200</v>
      </c>
      <c r="G29" s="14">
        <v>4</v>
      </c>
      <c r="H29" s="14">
        <v>50</v>
      </c>
      <c r="I29" s="15">
        <f t="shared" si="0"/>
        <v>900</v>
      </c>
      <c r="J29" s="15">
        <f t="shared" si="1"/>
        <v>540</v>
      </c>
      <c r="K29" s="16" t="s">
        <v>53</v>
      </c>
      <c r="L29" s="16" t="s">
        <v>54</v>
      </c>
      <c r="M29" s="16" t="s">
        <v>58</v>
      </c>
      <c r="N29" s="17"/>
    </row>
    <row r="30" spans="1:14">
      <c r="A30" s="13">
        <v>46275</v>
      </c>
      <c r="B30" s="14">
        <v>425</v>
      </c>
      <c r="C30" s="14">
        <v>25</v>
      </c>
      <c r="D30" s="14">
        <v>75</v>
      </c>
      <c r="E30" s="14">
        <v>40</v>
      </c>
      <c r="F30" s="14">
        <v>300</v>
      </c>
      <c r="G30" s="14">
        <v>6</v>
      </c>
      <c r="H30" s="14">
        <v>45</v>
      </c>
      <c r="I30" s="15">
        <f t="shared" si="0"/>
        <v>910</v>
      </c>
      <c r="J30" s="15">
        <f t="shared" si="1"/>
        <v>530</v>
      </c>
      <c r="K30" s="16" t="s">
        <v>65</v>
      </c>
      <c r="L30" s="16" t="s">
        <v>54</v>
      </c>
      <c r="M30" s="16" t="s">
        <v>59</v>
      </c>
      <c r="N30" s="17"/>
    </row>
    <row r="31" ht="28.8" customHeight="1" spans="1:14">
      <c r="A31" s="13">
        <v>46276</v>
      </c>
      <c r="B31" s="14">
        <v>445</v>
      </c>
      <c r="C31" s="14">
        <v>30</v>
      </c>
      <c r="D31" s="14">
        <v>90</v>
      </c>
      <c r="E31" s="14">
        <v>45</v>
      </c>
      <c r="F31" s="14">
        <v>250</v>
      </c>
      <c r="G31" s="14">
        <v>5</v>
      </c>
      <c r="H31" s="14">
        <v>55</v>
      </c>
      <c r="I31" s="15">
        <f t="shared" si="0"/>
        <v>915</v>
      </c>
      <c r="J31" s="15">
        <f t="shared" si="1"/>
        <v>525</v>
      </c>
      <c r="K31" s="16" t="s">
        <v>53</v>
      </c>
      <c r="L31" s="16" t="s">
        <v>54</v>
      </c>
      <c r="M31" s="16" t="s">
        <v>55</v>
      </c>
      <c r="N31" s="17"/>
    </row>
    <row r="32" spans="1:14">
      <c r="A32" s="13">
        <v>46277</v>
      </c>
      <c r="B32" s="14">
        <v>500</v>
      </c>
      <c r="C32" s="14">
        <v>45</v>
      </c>
      <c r="D32" s="14">
        <v>115</v>
      </c>
      <c r="E32" s="14">
        <v>70</v>
      </c>
      <c r="F32" s="14">
        <v>0</v>
      </c>
      <c r="G32" s="14">
        <v>0</v>
      </c>
      <c r="H32" s="14">
        <v>85</v>
      </c>
      <c r="I32" s="15">
        <f t="shared" si="0"/>
        <v>815</v>
      </c>
      <c r="J32" s="15">
        <f t="shared" si="1"/>
        <v>625</v>
      </c>
      <c r="K32" s="16" t="s">
        <v>56</v>
      </c>
      <c r="L32" s="16" t="s">
        <v>57</v>
      </c>
      <c r="M32" s="16" t="s">
        <v>58</v>
      </c>
      <c r="N32" s="17"/>
    </row>
    <row r="33" spans="1:14">
      <c r="A33" s="13">
        <v>46279</v>
      </c>
      <c r="B33" s="14">
        <v>435</v>
      </c>
      <c r="C33" s="14">
        <v>30</v>
      </c>
      <c r="D33" s="14">
        <v>80</v>
      </c>
      <c r="E33" s="14">
        <v>40</v>
      </c>
      <c r="F33" s="14">
        <v>250</v>
      </c>
      <c r="G33" s="14">
        <v>5</v>
      </c>
      <c r="H33" s="14">
        <v>50</v>
      </c>
      <c r="I33" s="15">
        <f t="shared" si="0"/>
        <v>885</v>
      </c>
      <c r="J33" s="15">
        <f t="shared" si="1"/>
        <v>555</v>
      </c>
      <c r="K33" s="16" t="s">
        <v>53</v>
      </c>
      <c r="L33" s="16" t="s">
        <v>54</v>
      </c>
      <c r="M33" s="16" t="s">
        <v>59</v>
      </c>
      <c r="N33" s="17"/>
    </row>
    <row r="34" ht="28.8" customHeight="1" spans="1:14">
      <c r="A34" s="13">
        <v>46280</v>
      </c>
      <c r="B34" s="14">
        <v>400</v>
      </c>
      <c r="C34" s="14">
        <v>20</v>
      </c>
      <c r="D34" s="14">
        <v>55</v>
      </c>
      <c r="E34" s="14">
        <v>30</v>
      </c>
      <c r="F34" s="14">
        <v>350</v>
      </c>
      <c r="G34" s="14">
        <v>7</v>
      </c>
      <c r="H34" s="14">
        <v>45</v>
      </c>
      <c r="I34" s="15">
        <f t="shared" si="0"/>
        <v>900</v>
      </c>
      <c r="J34" s="15">
        <f t="shared" si="1"/>
        <v>540</v>
      </c>
      <c r="K34" s="16" t="s">
        <v>60</v>
      </c>
      <c r="L34" s="16" t="s">
        <v>61</v>
      </c>
      <c r="M34" s="16" t="s">
        <v>62</v>
      </c>
      <c r="N34" s="17"/>
    </row>
    <row r="35" spans="1:14">
      <c r="A35" s="13">
        <v>46281</v>
      </c>
      <c r="B35" s="14">
        <v>470</v>
      </c>
      <c r="C35" s="14">
        <v>35</v>
      </c>
      <c r="D35" s="14">
        <v>105</v>
      </c>
      <c r="E35" s="14">
        <v>55</v>
      </c>
      <c r="F35" s="14">
        <v>200</v>
      </c>
      <c r="G35" s="14">
        <v>4</v>
      </c>
      <c r="H35" s="14">
        <v>50</v>
      </c>
      <c r="I35" s="15">
        <f t="shared" si="0"/>
        <v>915</v>
      </c>
      <c r="J35" s="15">
        <f t="shared" si="1"/>
        <v>525</v>
      </c>
      <c r="K35" s="16" t="s">
        <v>53</v>
      </c>
      <c r="L35" s="16" t="s">
        <v>54</v>
      </c>
      <c r="M35" s="16" t="s">
        <v>58</v>
      </c>
      <c r="N35" s="17"/>
    </row>
    <row r="36" spans="1:14">
      <c r="A36" s="13">
        <v>46282</v>
      </c>
      <c r="B36" s="14">
        <v>420</v>
      </c>
      <c r="C36" s="14">
        <v>25</v>
      </c>
      <c r="D36" s="14">
        <v>65</v>
      </c>
      <c r="E36" s="14">
        <v>35</v>
      </c>
      <c r="F36" s="14">
        <v>300</v>
      </c>
      <c r="G36" s="14">
        <v>5</v>
      </c>
      <c r="H36" s="14">
        <v>45</v>
      </c>
      <c r="I36" s="15">
        <f t="shared" si="0"/>
        <v>890</v>
      </c>
      <c r="J36" s="15">
        <f t="shared" si="1"/>
        <v>550</v>
      </c>
      <c r="K36" s="16" t="s">
        <v>70</v>
      </c>
      <c r="L36" s="16" t="s">
        <v>54</v>
      </c>
      <c r="M36" s="16" t="s">
        <v>59</v>
      </c>
      <c r="N36" s="17"/>
    </row>
    <row r="37" ht="28.8" customHeight="1" spans="1:14">
      <c r="A37" s="13">
        <v>46283</v>
      </c>
      <c r="B37" s="14">
        <v>450</v>
      </c>
      <c r="C37" s="14">
        <v>30</v>
      </c>
      <c r="D37" s="14">
        <v>85</v>
      </c>
      <c r="E37" s="14">
        <v>45</v>
      </c>
      <c r="F37" s="14">
        <v>250</v>
      </c>
      <c r="G37" s="14">
        <v>5</v>
      </c>
      <c r="H37" s="14">
        <v>55</v>
      </c>
      <c r="I37" s="15">
        <f t="shared" si="0"/>
        <v>915</v>
      </c>
      <c r="J37" s="15">
        <f t="shared" si="1"/>
        <v>525</v>
      </c>
      <c r="K37" s="16" t="s">
        <v>53</v>
      </c>
      <c r="L37" s="16" t="s">
        <v>54</v>
      </c>
      <c r="M37" s="16" t="s">
        <v>55</v>
      </c>
      <c r="N37" s="17"/>
    </row>
    <row r="38" spans="1:14">
      <c r="A38" s="13">
        <v>46284</v>
      </c>
      <c r="B38" s="14">
        <v>515</v>
      </c>
      <c r="C38" s="14">
        <v>50</v>
      </c>
      <c r="D38" s="14">
        <v>125</v>
      </c>
      <c r="E38" s="14">
        <v>80</v>
      </c>
      <c r="F38" s="14">
        <v>0</v>
      </c>
      <c r="G38" s="14">
        <v>0</v>
      </c>
      <c r="H38" s="14">
        <v>90</v>
      </c>
      <c r="I38" s="15">
        <f t="shared" si="0"/>
        <v>860</v>
      </c>
      <c r="J38" s="15">
        <f t="shared" si="1"/>
        <v>580</v>
      </c>
      <c r="K38" s="16" t="s">
        <v>56</v>
      </c>
      <c r="L38" s="16" t="s">
        <v>57</v>
      </c>
      <c r="M38" s="16" t="s">
        <v>58</v>
      </c>
      <c r="N38" s="17"/>
    </row>
    <row r="39" spans="1:14">
      <c r="A39" s="13">
        <v>46286</v>
      </c>
      <c r="B39" s="14">
        <v>410</v>
      </c>
      <c r="C39" s="14">
        <v>30</v>
      </c>
      <c r="D39" s="14">
        <v>150</v>
      </c>
      <c r="E39" s="14">
        <v>100</v>
      </c>
      <c r="F39" s="14">
        <v>250</v>
      </c>
      <c r="G39" s="14">
        <v>5</v>
      </c>
      <c r="H39" s="14">
        <v>55</v>
      </c>
      <c r="I39" s="15">
        <f t="shared" si="0"/>
        <v>995</v>
      </c>
      <c r="J39" s="15">
        <f t="shared" si="1"/>
        <v>445</v>
      </c>
      <c r="K39" s="16" t="s">
        <v>53</v>
      </c>
      <c r="L39" s="16" t="s">
        <v>54</v>
      </c>
      <c r="M39" s="16" t="s">
        <v>59</v>
      </c>
      <c r="N39" s="17" t="s">
        <v>71</v>
      </c>
    </row>
    <row r="40" spans="1:14">
      <c r="A40" s="13">
        <v>46287</v>
      </c>
      <c r="B40" s="14">
        <v>410</v>
      </c>
      <c r="C40" s="14">
        <v>30</v>
      </c>
      <c r="D40" s="14">
        <v>150</v>
      </c>
      <c r="E40" s="14">
        <v>100</v>
      </c>
      <c r="F40" s="14">
        <v>250</v>
      </c>
      <c r="G40" s="14">
        <v>5</v>
      </c>
      <c r="H40" s="14">
        <v>55</v>
      </c>
      <c r="I40" s="15">
        <f t="shared" si="0"/>
        <v>995</v>
      </c>
      <c r="J40" s="15">
        <f t="shared" si="1"/>
        <v>445</v>
      </c>
      <c r="K40" s="16" t="s">
        <v>53</v>
      </c>
      <c r="L40" s="16" t="s">
        <v>54</v>
      </c>
      <c r="M40" s="16" t="s">
        <v>58</v>
      </c>
      <c r="N40" s="17"/>
    </row>
    <row r="41" ht="28.8" spans="1:14">
      <c r="A41" s="13">
        <v>46288</v>
      </c>
      <c r="B41" s="14">
        <v>430</v>
      </c>
      <c r="C41" s="14">
        <v>25</v>
      </c>
      <c r="D41" s="14">
        <v>85</v>
      </c>
      <c r="E41" s="14">
        <v>50</v>
      </c>
      <c r="F41" s="14">
        <v>300</v>
      </c>
      <c r="G41" s="14">
        <v>6</v>
      </c>
      <c r="H41" s="14">
        <v>45</v>
      </c>
      <c r="I41" s="15">
        <f t="shared" si="0"/>
        <v>935</v>
      </c>
      <c r="J41" s="15">
        <f t="shared" si="1"/>
        <v>505</v>
      </c>
      <c r="K41" s="16" t="s">
        <v>53</v>
      </c>
      <c r="L41" s="16" t="s">
        <v>54</v>
      </c>
      <c r="M41" s="16" t="s">
        <v>55</v>
      </c>
      <c r="N41" s="17"/>
    </row>
    <row r="42" spans="1:14">
      <c r="A42" s="13">
        <v>46289</v>
      </c>
      <c r="B42" s="14">
        <v>450</v>
      </c>
      <c r="C42" s="14">
        <v>35</v>
      </c>
      <c r="D42" s="14">
        <v>95</v>
      </c>
      <c r="E42" s="14">
        <v>60</v>
      </c>
      <c r="F42" s="14">
        <v>200</v>
      </c>
      <c r="G42" s="14">
        <v>4</v>
      </c>
      <c r="H42" s="14">
        <v>50</v>
      </c>
      <c r="I42" s="15">
        <f t="shared" si="0"/>
        <v>890</v>
      </c>
      <c r="J42" s="15">
        <f t="shared" si="1"/>
        <v>550</v>
      </c>
      <c r="K42" s="16" t="s">
        <v>56</v>
      </c>
      <c r="L42" s="16" t="s">
        <v>57</v>
      </c>
      <c r="M42" s="16" t="s">
        <v>58</v>
      </c>
      <c r="N42" s="17"/>
    </row>
    <row r="43" ht="28.8" spans="1:14">
      <c r="A43" s="13">
        <v>46290</v>
      </c>
      <c r="B43" s="14">
        <v>420</v>
      </c>
      <c r="C43" s="14">
        <v>30</v>
      </c>
      <c r="D43" s="14">
        <v>80</v>
      </c>
      <c r="E43" s="14">
        <v>45</v>
      </c>
      <c r="F43" s="14">
        <v>250</v>
      </c>
      <c r="G43" s="14">
        <v>5</v>
      </c>
      <c r="H43" s="14">
        <v>55</v>
      </c>
      <c r="I43" s="15">
        <f t="shared" si="0"/>
        <v>880</v>
      </c>
      <c r="J43" s="15">
        <f t="shared" si="1"/>
        <v>560</v>
      </c>
      <c r="K43" s="16" t="s">
        <v>65</v>
      </c>
      <c r="L43" s="16" t="s">
        <v>54</v>
      </c>
      <c r="M43" s="16" t="s">
        <v>59</v>
      </c>
      <c r="N43" s="17" t="s">
        <v>72</v>
      </c>
    </row>
    <row r="44" ht="28.8" spans="1:14">
      <c r="A44" s="13">
        <v>46291</v>
      </c>
      <c r="B44" s="14">
        <v>465</v>
      </c>
      <c r="C44" s="14">
        <v>40</v>
      </c>
      <c r="D44" s="14">
        <v>110</v>
      </c>
      <c r="E44" s="14">
        <v>70</v>
      </c>
      <c r="F44" s="14">
        <v>0</v>
      </c>
      <c r="G44" s="14">
        <v>0</v>
      </c>
      <c r="H44" s="14">
        <v>85</v>
      </c>
      <c r="I44" s="15">
        <f t="shared" si="0"/>
        <v>770</v>
      </c>
      <c r="J44" s="15">
        <f t="shared" si="1"/>
        <v>670</v>
      </c>
      <c r="K44" s="16" t="s">
        <v>53</v>
      </c>
      <c r="L44" s="16" t="s">
        <v>54</v>
      </c>
      <c r="M44" s="16" t="s">
        <v>58</v>
      </c>
      <c r="N44" s="17" t="s">
        <v>73</v>
      </c>
    </row>
    <row r="45" spans="1:14">
      <c r="A45" s="13"/>
      <c r="B45" s="14"/>
      <c r="C45" s="14"/>
      <c r="D45" s="14"/>
      <c r="E45" s="14"/>
      <c r="F45" s="14"/>
      <c r="G45" s="14"/>
      <c r="H45" s="14"/>
      <c r="I45" s="15"/>
      <c r="J45" s="15"/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/>
      <c r="J46" s="15"/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/>
      <c r="J47" s="15"/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/>
      <c r="J48" s="15"/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/>
      <c r="J49" s="15"/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/>
      <c r="J50" s="15"/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/>
      <c r="J51" s="15"/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/>
      <c r="J52" s="15"/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/>
      <c r="J53" s="15"/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/>
      <c r="J54" s="15"/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/>
      <c r="J55" s="15"/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/>
      <c r="J56" s="15"/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/>
      <c r="J57" s="15"/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/>
      <c r="J58" s="15"/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/>
      <c r="J59" s="15"/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/>
      <c r="J60" s="15"/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ref="I57:I120" si="2">IF(SUM(B45:F45,H45)=0,"",SUM(B45:F45,H45))</f>
        <v/>
      </c>
      <c r="J61" s="15"/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2"/>
        <v/>
      </c>
      <c r="J62" s="15"/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2"/>
        <v/>
      </c>
      <c r="J63" s="15"/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2"/>
        <v/>
      </c>
      <c r="J64" s="15"/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2"/>
        <v/>
      </c>
      <c r="J65" s="15"/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2"/>
        <v/>
      </c>
      <c r="J66" s="15"/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2"/>
        <v/>
      </c>
      <c r="J67" s="15" t="str">
        <f t="shared" ref="J67:J130" si="3">IF(I51="","",1440-I51)</f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2"/>
        <v/>
      </c>
      <c r="J68" s="15" t="str">
        <f t="shared" si="3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2"/>
        <v/>
      </c>
      <c r="J69" s="15" t="str">
        <f t="shared" si="3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ref="I121:I184" si="4">IF(SUM(B105:F105,H105)=0,"",SUM(B105:F105,H105))</f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ref="J131:J194" si="5">IF(I115="","",1440-I115)</f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ref="I185:I248" si="6">IF(SUM(B169:F169,H169)=0,"",SUM(B169:F169,H169))</f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ref="J195:J258" si="7">IF(I179="","",1440-I179)</f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ref="I249:I312" si="8">IF(SUM(B233:F233,H233)=0,"",SUM(B233:F233,H233))</f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ref="J259:J322" si="9">IF(I243="","",1440-I243)</f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ref="I313:I376" si="10">IF(SUM(B297:F297,H297)=0,"",SUM(B297:F297,H297))</f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ref="J323:J386" si="11">IF(I307="","",1440-I307)</f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ref="I377:I417" si="12">IF(SUM(B361:F361,H361)=0,"",SUM(B361:F361,H361))</f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ref="J387:J417" si="13">IF(I371="","",1440-I371)</f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  <row r="402" spans="1:14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2"/>
        <v/>
      </c>
      <c r="J402" s="15" t="str">
        <f t="shared" si="13"/>
        <v/>
      </c>
      <c r="K402" s="16"/>
      <c r="L402" s="16"/>
      <c r="M402" s="16"/>
      <c r="N402" s="17"/>
    </row>
    <row r="403" spans="1:14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2"/>
        <v/>
      </c>
      <c r="J403" s="15" t="str">
        <f t="shared" si="13"/>
        <v/>
      </c>
      <c r="K403" s="16"/>
      <c r="L403" s="16"/>
      <c r="M403" s="16"/>
      <c r="N403" s="17"/>
    </row>
    <row r="404" spans="1:14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2"/>
        <v/>
      </c>
      <c r="J404" s="15" t="str">
        <f t="shared" si="13"/>
        <v/>
      </c>
      <c r="K404" s="16"/>
      <c r="L404" s="16"/>
      <c r="M404" s="16"/>
      <c r="N404" s="17"/>
    </row>
    <row r="405" spans="1:14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2"/>
        <v/>
      </c>
      <c r="J405" s="15" t="str">
        <f t="shared" si="13"/>
        <v/>
      </c>
      <c r="K405" s="16"/>
      <c r="L405" s="16"/>
      <c r="M405" s="16"/>
      <c r="N405" s="17"/>
    </row>
    <row r="406" spans="1:14">
      <c r="A406" s="13"/>
      <c r="B406" s="14"/>
      <c r="C406" s="14"/>
      <c r="D406" s="14"/>
      <c r="E406" s="14"/>
      <c r="F406" s="14"/>
      <c r="G406" s="14"/>
      <c r="H406" s="14"/>
      <c r="I406" s="15" t="str">
        <f t="shared" si="12"/>
        <v/>
      </c>
      <c r="J406" s="15" t="str">
        <f t="shared" si="13"/>
        <v/>
      </c>
      <c r="K406" s="16"/>
      <c r="L406" s="16"/>
      <c r="M406" s="16"/>
      <c r="N406" s="17"/>
    </row>
    <row r="407" spans="1:14">
      <c r="A407" s="13"/>
      <c r="B407" s="14"/>
      <c r="C407" s="14"/>
      <c r="D407" s="14"/>
      <c r="E407" s="14"/>
      <c r="F407" s="14"/>
      <c r="G407" s="14"/>
      <c r="H407" s="14"/>
      <c r="I407" s="15" t="str">
        <f t="shared" si="12"/>
        <v/>
      </c>
      <c r="J407" s="15" t="str">
        <f t="shared" si="13"/>
        <v/>
      </c>
      <c r="K407" s="16"/>
      <c r="L407" s="16"/>
      <c r="M407" s="16"/>
      <c r="N407" s="17"/>
    </row>
    <row r="408" spans="1:14">
      <c r="A408" s="13"/>
      <c r="B408" s="14"/>
      <c r="C408" s="14"/>
      <c r="D408" s="14"/>
      <c r="E408" s="14"/>
      <c r="F408" s="14"/>
      <c r="G408" s="14"/>
      <c r="H408" s="14"/>
      <c r="I408" s="15" t="str">
        <f t="shared" si="12"/>
        <v/>
      </c>
      <c r="J408" s="15" t="str">
        <f t="shared" si="13"/>
        <v/>
      </c>
      <c r="K408" s="16"/>
      <c r="L408" s="16"/>
      <c r="M408" s="16"/>
      <c r="N408" s="17"/>
    </row>
    <row r="409" spans="1:14">
      <c r="A409" s="13"/>
      <c r="B409" s="14"/>
      <c r="C409" s="14"/>
      <c r="D409" s="14"/>
      <c r="E409" s="14"/>
      <c r="F409" s="14"/>
      <c r="G409" s="14"/>
      <c r="H409" s="14"/>
      <c r="I409" s="15" t="str">
        <f t="shared" si="12"/>
        <v/>
      </c>
      <c r="J409" s="15" t="str">
        <f t="shared" si="13"/>
        <v/>
      </c>
      <c r="K409" s="16"/>
      <c r="L409" s="16"/>
      <c r="M409" s="16"/>
      <c r="N409" s="17"/>
    </row>
    <row r="410" spans="1:14">
      <c r="A410" s="13"/>
      <c r="B410" s="14"/>
      <c r="C410" s="14"/>
      <c r="D410" s="14"/>
      <c r="E410" s="14"/>
      <c r="F410" s="14"/>
      <c r="G410" s="14"/>
      <c r="H410" s="14"/>
      <c r="I410" s="15" t="str">
        <f t="shared" si="12"/>
        <v/>
      </c>
      <c r="J410" s="15" t="str">
        <f t="shared" si="13"/>
        <v/>
      </c>
      <c r="K410" s="16"/>
      <c r="L410" s="16"/>
      <c r="M410" s="16"/>
      <c r="N410" s="17"/>
    </row>
    <row r="411" spans="1:14">
      <c r="A411" s="13"/>
      <c r="B411" s="14"/>
      <c r="C411" s="14"/>
      <c r="D411" s="14"/>
      <c r="E411" s="14"/>
      <c r="F411" s="14"/>
      <c r="G411" s="14"/>
      <c r="H411" s="14"/>
      <c r="I411" s="15" t="str">
        <f t="shared" si="12"/>
        <v/>
      </c>
      <c r="J411" s="15" t="str">
        <f t="shared" si="13"/>
        <v/>
      </c>
      <c r="K411" s="16"/>
      <c r="L411" s="16"/>
      <c r="M411" s="16"/>
      <c r="N411" s="17"/>
    </row>
    <row r="412" spans="1:14">
      <c r="A412" s="13"/>
      <c r="B412" s="14"/>
      <c r="C412" s="14"/>
      <c r="D412" s="14"/>
      <c r="E412" s="14"/>
      <c r="F412" s="14"/>
      <c r="G412" s="14"/>
      <c r="H412" s="14"/>
      <c r="I412" s="15" t="str">
        <f t="shared" si="12"/>
        <v/>
      </c>
      <c r="J412" s="15" t="str">
        <f t="shared" si="13"/>
        <v/>
      </c>
      <c r="K412" s="16"/>
      <c r="L412" s="16"/>
      <c r="M412" s="16"/>
      <c r="N412" s="17"/>
    </row>
    <row r="413" spans="1:14">
      <c r="A413" s="13"/>
      <c r="B413" s="14"/>
      <c r="C413" s="14"/>
      <c r="D413" s="14"/>
      <c r="E413" s="14"/>
      <c r="F413" s="14"/>
      <c r="G413" s="14"/>
      <c r="H413" s="14"/>
      <c r="I413" s="15" t="str">
        <f t="shared" si="12"/>
        <v/>
      </c>
      <c r="J413" s="15" t="str">
        <f t="shared" si="13"/>
        <v/>
      </c>
      <c r="K413" s="16"/>
      <c r="L413" s="16"/>
      <c r="M413" s="16"/>
      <c r="N413" s="17"/>
    </row>
    <row r="414" spans="1:14">
      <c r="A414" s="13"/>
      <c r="B414" s="14"/>
      <c r="C414" s="14"/>
      <c r="D414" s="14"/>
      <c r="E414" s="14"/>
      <c r="F414" s="14"/>
      <c r="G414" s="14"/>
      <c r="H414" s="14"/>
      <c r="I414" s="15" t="str">
        <f t="shared" si="12"/>
        <v/>
      </c>
      <c r="J414" s="15" t="str">
        <f t="shared" si="13"/>
        <v/>
      </c>
      <c r="K414" s="16"/>
      <c r="L414" s="16"/>
      <c r="M414" s="16"/>
      <c r="N414" s="17"/>
    </row>
    <row r="415" spans="1:14">
      <c r="A415" s="13"/>
      <c r="B415" s="14"/>
      <c r="C415" s="14"/>
      <c r="D415" s="14"/>
      <c r="E415" s="14"/>
      <c r="F415" s="14"/>
      <c r="G415" s="14"/>
      <c r="H415" s="14"/>
      <c r="I415" s="15" t="str">
        <f t="shared" si="12"/>
        <v/>
      </c>
      <c r="J415" s="15" t="str">
        <f t="shared" si="13"/>
        <v/>
      </c>
      <c r="K415" s="16"/>
      <c r="L415" s="16"/>
      <c r="M415" s="16"/>
      <c r="N415" s="17"/>
    </row>
    <row r="416" spans="1:14">
      <c r="A416" s="13"/>
      <c r="B416" s="14"/>
      <c r="C416" s="14"/>
      <c r="D416" s="14"/>
      <c r="E416" s="14"/>
      <c r="F416" s="14"/>
      <c r="G416" s="14"/>
      <c r="H416" s="14"/>
      <c r="I416" s="15" t="str">
        <f t="shared" si="12"/>
        <v/>
      </c>
      <c r="J416" s="15" t="str">
        <f t="shared" si="13"/>
        <v/>
      </c>
      <c r="K416" s="16"/>
      <c r="L416" s="16"/>
      <c r="M416" s="16"/>
      <c r="N416" s="17"/>
    </row>
    <row r="417" spans="1:14">
      <c r="A417" s="13"/>
      <c r="B417" s="14"/>
      <c r="C417" s="14"/>
      <c r="D417" s="14"/>
      <c r="E417" s="14"/>
      <c r="F417" s="14"/>
      <c r="G417" s="14"/>
      <c r="H417" s="14"/>
      <c r="I417" s="15" t="str">
        <f t="shared" si="12"/>
        <v/>
      </c>
      <c r="J417" s="15" t="str">
        <f t="shared" si="13"/>
        <v/>
      </c>
      <c r="K417" s="16"/>
      <c r="L417" s="16"/>
      <c r="M417" s="16"/>
      <c r="N417" s="17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</cp:lastModifiedBy>
  <cp:revision>0</cp:revision>
  <dcterms:created xsi:type="dcterms:W3CDTF">2026-07-24T11:49:00Z</dcterms:created>
  <dcterms:modified xsi:type="dcterms:W3CDTF">2026-09-25T17:57:21Z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23B5FE56BB9444F39D4DCF6E824B71B4_13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